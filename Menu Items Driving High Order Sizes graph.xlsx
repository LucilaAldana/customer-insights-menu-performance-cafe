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l\Documents\Education\Data Analysis\SQL\MySQL\Projects MySQL\Customer Insights and Menu Performance Analysis\"/>
    </mc:Choice>
  </mc:AlternateContent>
  <xr:revisionPtr revIDLastSave="0" documentId="8_{CA5693A4-518A-4693-BF44-CEF81E6D35E4}" xr6:coauthVersionLast="47" xr6:coauthVersionMax="47" xr10:uidLastSave="{00000000-0000-0000-0000-000000000000}"/>
  <bookViews>
    <workbookView xWindow="-108" yWindow="-108" windowWidth="23256" windowHeight="12456" xr2:uid="{26BF156B-6340-4AE4-AF53-1F467F59685F}"/>
  </bookViews>
  <sheets>
    <sheet name="high ticket size drivers" sheetId="1" r:id="rId1"/>
    <sheet name="avg_revenue_share_percent" sheetId="4" r:id="rId2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<sst xmlns="http://schemas.openxmlformats.org/spreadsheetml/2006/main" count="71" uniqueCount="37">
  <si>
    <t>item_id</t>
  </si>
  <si>
    <t>item_name</t>
  </si>
  <si>
    <t>orders_with_item</t>
  </si>
  <si>
    <t>avg_order_price_with_item</t>
  </si>
  <si>
    <t>Meat Lasagna</t>
  </si>
  <si>
    <t>Pork Ramen</t>
  </si>
  <si>
    <t>Spaghetti &amp; Meatballs</t>
  </si>
  <si>
    <t>Shrimp Scampi</t>
  </si>
  <si>
    <t>Korean Beef Bowl</t>
  </si>
  <si>
    <t>Chicken Parmesan</t>
  </si>
  <si>
    <t>Mushroom Ravioli</t>
  </si>
  <si>
    <t>Eggplant Parmesan</t>
  </si>
  <si>
    <t>Orange Chicken</t>
  </si>
  <si>
    <t>Salmon Roll</t>
  </si>
  <si>
    <t>Cheese Lasagna</t>
  </si>
  <si>
    <t>Spaghetti</t>
  </si>
  <si>
    <t>Tofu Pad Thai</t>
  </si>
  <si>
    <t>Steak Burrito</t>
  </si>
  <si>
    <t>Steak Torta</t>
  </si>
  <si>
    <t>Fettuccine Alfredo</t>
  </si>
  <si>
    <t>Cheeseburger</t>
  </si>
  <si>
    <t>Steak Tacos</t>
  </si>
  <si>
    <t>Chicken Burrito</t>
  </si>
  <si>
    <t>Chicken Tacos</t>
  </si>
  <si>
    <t>Hamburger</t>
  </si>
  <si>
    <t>Chicken Torta</t>
  </si>
  <si>
    <t>Veggie Burger</t>
  </si>
  <si>
    <t>California Roll</t>
  </si>
  <si>
    <t>Cheese Quesadillas</t>
  </si>
  <si>
    <t>Hot Dog</t>
  </si>
  <si>
    <t>Potstickers</t>
  </si>
  <si>
    <t>Chips &amp; Salsa</t>
  </si>
  <si>
    <t>Chips &amp; Guacamole</t>
  </si>
  <si>
    <t>Mac &amp; Cheese</t>
  </si>
  <si>
    <t>French Fries</t>
  </si>
  <si>
    <t>Edamame</t>
  </si>
  <si>
    <t>avg_revenue_share_percent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</si>
</sst>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Menu Items Driving High Order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F2B39D2-C152-4C8C-8E1E-7BADEF102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9B1-4E31-9616-30A1CC6286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1640CC-DA12-423B-9564-D69762FB1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9B1-4E31-9616-30A1CC6286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AC12553-32ED-4D4A-9AE3-49B3732013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9B1-4E31-9616-30A1CC6286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A470E6-BF61-421E-8009-CA8AF428F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9B1-4E31-9616-30A1CC6286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CEE8CB-4024-42AE-8EED-49BA0BB3F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9B1-4E31-9616-30A1CC6286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65ACFA-0321-4EB8-9A2D-D4BFF71C3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9B1-4E31-9616-30A1CC6286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15D5924-5EF2-4362-9177-D3C33F2028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9B1-4E31-9616-30A1CC6286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9080D2D-478C-47B1-A060-290FFEBCA9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9B1-4E31-9616-30A1CC6286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DD7D51A-5E36-42F9-996D-CC2FCFB67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9B1-4E31-9616-30A1CC6286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1DE9E1-E0B9-4A1A-A440-1DCFD2C8D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9B1-4E31-9616-30A1CC6286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B356ED3-1204-46C9-AB31-67F005CA4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9B1-4E31-9616-30A1CC6286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C4A744A-3533-4BFE-8B4B-8F0480437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9B1-4E31-9616-30A1CC6286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5EB8C58-173A-47BA-B900-B0E2D090A3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9B1-4E31-9616-30A1CC6286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88BD180-DED7-4D35-B820-313659309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9B1-4E31-9616-30A1CC6286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EB7ECF9-1138-413D-9BEA-2D2BD2DD1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9B1-4E31-9616-30A1CC6286D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28B14AC-69A9-4746-8598-25905D8B3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9B1-4E31-9616-30A1CC6286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87B3715-0794-432D-9A9F-3C8BB1051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9B1-4E31-9616-30A1CC6286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7CF39AD-AD14-41BE-832E-1AD5C90DA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9B1-4E31-9616-30A1CC6286D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B6E3F9E-48C4-457E-82A7-3D172D6F9A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9B1-4E31-9616-30A1CC6286D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7CD3B35-BA20-42CE-A816-81E2E4705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9B1-4E31-9616-30A1CC6286D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744733D-328A-4A9D-B25B-F2F7C787F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9B1-4E31-9616-30A1CC6286D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7B6AB7F-26C2-48D7-B37C-C9098689D6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9B1-4E31-9616-30A1CC6286D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99127F5-878B-4058-8472-914D6ECDFA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9B1-4E31-9616-30A1CC6286D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673A0FE-2EED-48C1-B186-589D96BB5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9B1-4E31-9616-30A1CC6286D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D86E7A3-BEDE-45E8-B802-33C67B259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9B1-4E31-9616-30A1CC6286D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36A647B-801A-42B9-A5AD-311F9CC11C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49B1-4E31-9616-30A1CC6286D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C0932BC-E7D6-4FD5-BA19-2780738186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49B1-4E31-9616-30A1CC6286D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87B0F30-55A1-4BA0-8893-EC79DC10E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49B1-4E31-9616-30A1CC6286D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6E93B8E-9B5C-4376-9196-A6FF90A1E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49B1-4E31-9616-30A1CC6286D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32D8CAA-4802-4738-8CC8-A21CBEA79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49B1-4E31-9616-30A1CC6286D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06932F7-33B2-496D-B16A-36506FC10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49B1-4E31-9616-30A1CC6286D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EA556DA-24C7-4FB6-9616-A676A4EB5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9B1-4E31-9616-30A1CC6286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'high ticket size drivers'!$B$2:$B$33</c:f>
              <c:numCache>
                <c:formatCode>General</c:formatCode>
                <c:ptCount val="32"/>
                <c:pt idx="0">
                  <c:v>43.88</c:v>
                </c:pt>
                <c:pt idx="1">
                  <c:v>44.46</c:v>
                </c:pt>
                <c:pt idx="2">
                  <c:v>44.91</c:v>
                </c:pt>
                <c:pt idx="3">
                  <c:v>49.07</c:v>
                </c:pt>
                <c:pt idx="4">
                  <c:v>46.21</c:v>
                </c:pt>
                <c:pt idx="5">
                  <c:v>45.62</c:v>
                </c:pt>
                <c:pt idx="6">
                  <c:v>40.340000000000003</c:v>
                </c:pt>
                <c:pt idx="7">
                  <c:v>43.9</c:v>
                </c:pt>
                <c:pt idx="8">
                  <c:v>43.47</c:v>
                </c:pt>
                <c:pt idx="9">
                  <c:v>40.51</c:v>
                </c:pt>
                <c:pt idx="10">
                  <c:v>41.72</c:v>
                </c:pt>
                <c:pt idx="11">
                  <c:v>39.14</c:v>
                </c:pt>
                <c:pt idx="12">
                  <c:v>40.119999999999997</c:v>
                </c:pt>
                <c:pt idx="13">
                  <c:v>41.41</c:v>
                </c:pt>
                <c:pt idx="14">
                  <c:v>39.94</c:v>
                </c:pt>
                <c:pt idx="15">
                  <c:v>41.72</c:v>
                </c:pt>
                <c:pt idx="16">
                  <c:v>41.09</c:v>
                </c:pt>
                <c:pt idx="17">
                  <c:v>40.32</c:v>
                </c:pt>
                <c:pt idx="18">
                  <c:v>37.770000000000003</c:v>
                </c:pt>
                <c:pt idx="19">
                  <c:v>35.119999999999997</c:v>
                </c:pt>
                <c:pt idx="20">
                  <c:v>39.81</c:v>
                </c:pt>
                <c:pt idx="21">
                  <c:v>35.96</c:v>
                </c:pt>
                <c:pt idx="22">
                  <c:v>32.18</c:v>
                </c:pt>
                <c:pt idx="23">
                  <c:v>37.08</c:v>
                </c:pt>
                <c:pt idx="24">
                  <c:v>33.57</c:v>
                </c:pt>
                <c:pt idx="25">
                  <c:v>28.93</c:v>
                </c:pt>
                <c:pt idx="26">
                  <c:v>30.65</c:v>
                </c:pt>
                <c:pt idx="27">
                  <c:v>24.51</c:v>
                </c:pt>
                <c:pt idx="28">
                  <c:v>31.82</c:v>
                </c:pt>
                <c:pt idx="29">
                  <c:v>25.38</c:v>
                </c:pt>
                <c:pt idx="30">
                  <c:v>25.84</c:v>
                </c:pt>
                <c:pt idx="31">
                  <c:v>19.93</c:v>
                </c:pt>
              </c:numCache>
            </c:numRef>
          </c:xVal>
          <c:yVal>
            <c:numRef>
              <c:f>'high ticket size drivers'!$C$2:$C$33</c:f>
              <c:numCache>
                <c:formatCode>General</c:formatCode>
                <c:ptCount val="32"/>
                <c:pt idx="0">
                  <c:v>45.182839999999999</c:v>
                </c:pt>
                <c:pt idx="1">
                  <c:v>44.711857999999999</c:v>
                </c:pt>
                <c:pt idx="2">
                  <c:v>44.267879999999998</c:v>
                </c:pt>
                <c:pt idx="3">
                  <c:v>44.181736999999998</c:v>
                </c:pt>
                <c:pt idx="4">
                  <c:v>43.176551000000003</c:v>
                </c:pt>
                <c:pt idx="5">
                  <c:v>43.046760999999996</c:v>
                </c:pt>
                <c:pt idx="6">
                  <c:v>42.309387999999998</c:v>
                </c:pt>
                <c:pt idx="7">
                  <c:v>41.983333000000002</c:v>
                </c:pt>
                <c:pt idx="8">
                  <c:v>41.442461999999999</c:v>
                </c:pt>
                <c:pt idx="9">
                  <c:v>41.198283000000004</c:v>
                </c:pt>
                <c:pt idx="10">
                  <c:v>40.807285</c:v>
                </c:pt>
                <c:pt idx="11">
                  <c:v>40.761175999999999</c:v>
                </c:pt>
                <c:pt idx="12">
                  <c:v>40.462398999999998</c:v>
                </c:pt>
                <c:pt idx="13">
                  <c:v>40.434483</c:v>
                </c:pt>
                <c:pt idx="14">
                  <c:v>39.931930999999999</c:v>
                </c:pt>
                <c:pt idx="15">
                  <c:v>39.342934999999997</c:v>
                </c:pt>
                <c:pt idx="16">
                  <c:v>38.943461999999997</c:v>
                </c:pt>
                <c:pt idx="17">
                  <c:v>38.682257999999997</c:v>
                </c:pt>
                <c:pt idx="18">
                  <c:v>38.669063999999999</c:v>
                </c:pt>
                <c:pt idx="19">
                  <c:v>38.053226000000002</c:v>
                </c:pt>
                <c:pt idx="20">
                  <c:v>37.764538999999999</c:v>
                </c:pt>
                <c:pt idx="21">
                  <c:v>37.757407000000001</c:v>
                </c:pt>
                <c:pt idx="22">
                  <c:v>37.307143000000003</c:v>
                </c:pt>
                <c:pt idx="23">
                  <c:v>36.420575999999997</c:v>
                </c:pt>
                <c:pt idx="24">
                  <c:v>36.137500000000003</c:v>
                </c:pt>
                <c:pt idx="25">
                  <c:v>35.714722000000002</c:v>
                </c:pt>
                <c:pt idx="26">
                  <c:v>34.308993000000001</c:v>
                </c:pt>
                <c:pt idx="27">
                  <c:v>34.016401000000002</c:v>
                </c:pt>
                <c:pt idx="28">
                  <c:v>33.781104999999997</c:v>
                </c:pt>
                <c:pt idx="29">
                  <c:v>32.955677999999999</c:v>
                </c:pt>
                <c:pt idx="30">
                  <c:v>32.577891999999999</c:v>
                </c:pt>
                <c:pt idx="31">
                  <c:v>31.823164999999999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'high ticket size drivers'!$A$2:$A$33</c15:f>
                <c15:dlblRangeCache>
                  <c:ptCount val="32"/>
                  <c:pt idx="0">
                    <c:v>Meat Lasagna</c:v>
                  </c:pt>
                  <c:pt idx="1">
                    <c:v>Pork Ramen</c:v>
                  </c:pt>
                  <c:pt idx="2">
                    <c:v>Spaghetti &amp; Meatballs</c:v>
                  </c:pt>
                  <c:pt idx="3">
                    <c:v>Shrimp Scampi</c:v>
                  </c:pt>
                  <c:pt idx="4">
                    <c:v>Korean Beef Bowl</c:v>
                  </c:pt>
                  <c:pt idx="5">
                    <c:v>Chicken Parmesan</c:v>
                  </c:pt>
                  <c:pt idx="6">
                    <c:v>Mushroom Ravioli</c:v>
                  </c:pt>
                  <c:pt idx="7">
                    <c:v>Eggplant Parmesan</c:v>
                  </c:pt>
                  <c:pt idx="8">
                    <c:v>Orange Chicken</c:v>
                  </c:pt>
                  <c:pt idx="9">
                    <c:v>Salmon Roll</c:v>
                  </c:pt>
                  <c:pt idx="10">
                    <c:v>Cheese Lasagna</c:v>
                  </c:pt>
                  <c:pt idx="11">
                    <c:v>Spaghetti</c:v>
                  </c:pt>
                  <c:pt idx="12">
                    <c:v>Tofu Pad Thai</c:v>
                  </c:pt>
                  <c:pt idx="13">
                    <c:v>Steak Burrito</c:v>
                  </c:pt>
                  <c:pt idx="14">
                    <c:v>Steak Torta</c:v>
                  </c:pt>
                  <c:pt idx="15">
                    <c:v>Fettuccine Alfredo</c:v>
                  </c:pt>
                  <c:pt idx="16">
                    <c:v>Cheeseburger</c:v>
                  </c:pt>
                  <c:pt idx="17">
                    <c:v>Steak Tacos</c:v>
                  </c:pt>
                  <c:pt idx="18">
                    <c:v>Chicken Burrito</c:v>
                  </c:pt>
                  <c:pt idx="19">
                    <c:v>Chicken Tacos</c:v>
                  </c:pt>
                  <c:pt idx="20">
                    <c:v>Hamburger</c:v>
                  </c:pt>
                  <c:pt idx="21">
                    <c:v>Chicken Torta</c:v>
                  </c:pt>
                  <c:pt idx="22">
                    <c:v>Veggie Burger</c:v>
                  </c:pt>
                  <c:pt idx="23">
                    <c:v>California Roll</c:v>
                  </c:pt>
                  <c:pt idx="24">
                    <c:v>Cheese Quesadillas</c:v>
                  </c:pt>
                  <c:pt idx="25">
                    <c:v>Hot Dog</c:v>
                  </c:pt>
                  <c:pt idx="26">
                    <c:v>Potstickers</c:v>
                  </c:pt>
                  <c:pt idx="27">
                    <c:v>Chips &amp; Salsa</c:v>
                  </c:pt>
                  <c:pt idx="28">
                    <c:v>Chips &amp; Guacamole</c:v>
                  </c:pt>
                  <c:pt idx="29">
                    <c:v>Mac &amp; Cheese</c:v>
                  </c:pt>
                  <c:pt idx="30">
                    <c:v>French Fries</c:v>
                  </c:pt>
                  <c:pt idx="31">
                    <c:v>Edamame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9B1-4E31-9616-30A1CC628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834344"/>
        <c:axId val="584834704"/>
      </c:scatterChart>
      <c:valAx>
        <c:axId val="584834344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Avg Revenue Share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34704"/>
        <c:crosses val="autoZero"/>
        <c:crossBetween val="midCat"/>
      </c:valAx>
      <c:valAx>
        <c:axId val="58483470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Avg Order Value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34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4</xdr:row>
      <xdr:rowOff>160020</xdr:rowOff>
    </xdr:from>
    <xdr:to>
      <xdr:col>12</xdr:col>
      <xdr:colOff>762000</xdr:colOff>
      <xdr:row>27</xdr:row>
      <xdr:rowOff>91440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9C78065-DD2F-6D5F-DE0C-70612EDEE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49F9-4E38-4755-A6BB-35068FC08723}">
  <dimension ref="A1:C33"/>
  <sheetViews>
    <sheetView tabSelected="1" workbookViewId="0">
      <selection activeCell="F2" sqref="F2"/>
    </sheetView>
  </sheetViews>
  <sheetFormatPr baseColWidth="10" defaultRowHeight="14.4" x14ac:dyDescent="0.3"/>
  <cols>
    <col min="1" max="1" width="18.88671875" bestFit="1" customWidth="1"/>
    <col min="2" max="2" width="26.6640625" bestFit="1" customWidth="1"/>
    <col min="3" max="3" width="23.6640625" bestFit="1" customWidth="1"/>
  </cols>
  <sheetData>
    <row r="1" spans="1:3" x14ac:dyDescent="0.3">
      <c r="A1" t="s">
        <v>1</v>
      </c>
      <c r="B1" t="s">
        <v>36</v>
      </c>
      <c r="C1" t="s">
        <v>3</v>
      </c>
    </row>
    <row r="2" spans="1:3" x14ac:dyDescent="0.3">
      <c r="A2" t="s">
        <v>4</v>
      </c>
      <c r="B2">
        <f>VLOOKUP($A2, avg_revenue_share_percent!$B:$D, 3, FALSE)</f>
        <v>43.88</v>
      </c>
      <c r="C2">
        <v>45.182839999999999</v>
      </c>
    </row>
    <row r="3" spans="1:3" x14ac:dyDescent="0.3">
      <c r="A3" t="s">
        <v>5</v>
      </c>
      <c r="B3">
        <f>VLOOKUP($A3, avg_revenue_share_percent!$B:$D, 3, FALSE)</f>
        <v>44.46</v>
      </c>
      <c r="C3">
        <v>44.711857999999999</v>
      </c>
    </row>
    <row r="4" spans="1:3" x14ac:dyDescent="0.3">
      <c r="A4" t="s">
        <v>6</v>
      </c>
      <c r="B4">
        <f>VLOOKUP($A4, avg_revenue_share_percent!$B:$D, 3, FALSE)</f>
        <v>44.91</v>
      </c>
      <c r="C4">
        <v>44.267879999999998</v>
      </c>
    </row>
    <row r="5" spans="1:3" x14ac:dyDescent="0.3">
      <c r="A5" t="s">
        <v>7</v>
      </c>
      <c r="B5">
        <f>VLOOKUP($A5, avg_revenue_share_percent!$B:$D, 3, FALSE)</f>
        <v>49.07</v>
      </c>
      <c r="C5">
        <v>44.181736999999998</v>
      </c>
    </row>
    <row r="6" spans="1:3" x14ac:dyDescent="0.3">
      <c r="A6" t="s">
        <v>8</v>
      </c>
      <c r="B6">
        <f>VLOOKUP($A6, avg_revenue_share_percent!$B:$D, 3, FALSE)</f>
        <v>46.21</v>
      </c>
      <c r="C6">
        <v>43.176551000000003</v>
      </c>
    </row>
    <row r="7" spans="1:3" x14ac:dyDescent="0.3">
      <c r="A7" t="s">
        <v>9</v>
      </c>
      <c r="B7">
        <f>VLOOKUP($A7, avg_revenue_share_percent!$B:$D, 3, FALSE)</f>
        <v>45.62</v>
      </c>
      <c r="C7">
        <v>43.046760999999996</v>
      </c>
    </row>
    <row r="8" spans="1:3" x14ac:dyDescent="0.3">
      <c r="A8" t="s">
        <v>10</v>
      </c>
      <c r="B8">
        <f>VLOOKUP($A8, avg_revenue_share_percent!$B:$D, 3, FALSE)</f>
        <v>40.340000000000003</v>
      </c>
      <c r="C8">
        <v>42.309387999999998</v>
      </c>
    </row>
    <row r="9" spans="1:3" x14ac:dyDescent="0.3">
      <c r="A9" t="s">
        <v>11</v>
      </c>
      <c r="B9">
        <f>VLOOKUP($A9, avg_revenue_share_percent!$B:$D, 3, FALSE)</f>
        <v>43.9</v>
      </c>
      <c r="C9">
        <v>41.983333000000002</v>
      </c>
    </row>
    <row r="10" spans="1:3" x14ac:dyDescent="0.3">
      <c r="A10" t="s">
        <v>12</v>
      </c>
      <c r="B10">
        <f>VLOOKUP($A10, avg_revenue_share_percent!$B:$D, 3, FALSE)</f>
        <v>43.47</v>
      </c>
      <c r="C10">
        <v>41.442461999999999</v>
      </c>
    </row>
    <row r="11" spans="1:3" x14ac:dyDescent="0.3">
      <c r="A11" t="s">
        <v>13</v>
      </c>
      <c r="B11">
        <f>VLOOKUP($A11, avg_revenue_share_percent!$B:$D, 3, FALSE)</f>
        <v>40.51</v>
      </c>
      <c r="C11">
        <v>41.198283000000004</v>
      </c>
    </row>
    <row r="12" spans="1:3" x14ac:dyDescent="0.3">
      <c r="A12" t="s">
        <v>14</v>
      </c>
      <c r="B12">
        <f>VLOOKUP($A12, avg_revenue_share_percent!$B:$D, 3, FALSE)</f>
        <v>41.72</v>
      </c>
      <c r="C12">
        <v>40.807285</v>
      </c>
    </row>
    <row r="13" spans="1:3" x14ac:dyDescent="0.3">
      <c r="A13" t="s">
        <v>15</v>
      </c>
      <c r="B13">
        <f>VLOOKUP($A13, avg_revenue_share_percent!$B:$D, 3, FALSE)</f>
        <v>39.14</v>
      </c>
      <c r="C13">
        <v>40.761175999999999</v>
      </c>
    </row>
    <row r="14" spans="1:3" x14ac:dyDescent="0.3">
      <c r="A14" t="s">
        <v>16</v>
      </c>
      <c r="B14">
        <f>VLOOKUP($A14, avg_revenue_share_percent!$B:$D, 3, FALSE)</f>
        <v>40.119999999999997</v>
      </c>
      <c r="C14">
        <v>40.462398999999998</v>
      </c>
    </row>
    <row r="15" spans="1:3" x14ac:dyDescent="0.3">
      <c r="A15" t="s">
        <v>17</v>
      </c>
      <c r="B15">
        <f>VLOOKUP($A15, avg_revenue_share_percent!$B:$D, 3, FALSE)</f>
        <v>41.41</v>
      </c>
      <c r="C15">
        <v>40.434483</v>
      </c>
    </row>
    <row r="16" spans="1:3" x14ac:dyDescent="0.3">
      <c r="A16" t="s">
        <v>18</v>
      </c>
      <c r="B16">
        <f>VLOOKUP($A16, avg_revenue_share_percent!$B:$D, 3, FALSE)</f>
        <v>39.94</v>
      </c>
      <c r="C16">
        <v>39.931930999999999</v>
      </c>
    </row>
    <row r="17" spans="1:3" x14ac:dyDescent="0.3">
      <c r="A17" t="s">
        <v>19</v>
      </c>
      <c r="B17">
        <f>VLOOKUP($A17, avg_revenue_share_percent!$B:$D, 3, FALSE)</f>
        <v>41.72</v>
      </c>
      <c r="C17">
        <v>39.342934999999997</v>
      </c>
    </row>
    <row r="18" spans="1:3" x14ac:dyDescent="0.3">
      <c r="A18" t="s">
        <v>20</v>
      </c>
      <c r="B18">
        <f>VLOOKUP($A18, avg_revenue_share_percent!$B:$D, 3, FALSE)</f>
        <v>41.09</v>
      </c>
      <c r="C18">
        <v>38.943461999999997</v>
      </c>
    </row>
    <row r="19" spans="1:3" x14ac:dyDescent="0.3">
      <c r="A19" t="s">
        <v>21</v>
      </c>
      <c r="B19">
        <f>VLOOKUP($A19, avg_revenue_share_percent!$B:$D, 3, FALSE)</f>
        <v>40.32</v>
      </c>
      <c r="C19">
        <v>38.682257999999997</v>
      </c>
    </row>
    <row r="20" spans="1:3" x14ac:dyDescent="0.3">
      <c r="A20" t="s">
        <v>22</v>
      </c>
      <c r="B20">
        <f>VLOOKUP($A20, avg_revenue_share_percent!$B:$D, 3, FALSE)</f>
        <v>37.770000000000003</v>
      </c>
      <c r="C20">
        <v>38.669063999999999</v>
      </c>
    </row>
    <row r="21" spans="1:3" x14ac:dyDescent="0.3">
      <c r="A21" t="s">
        <v>23</v>
      </c>
      <c r="B21">
        <f>VLOOKUP($A21, avg_revenue_share_percent!$B:$D, 3, FALSE)</f>
        <v>35.119999999999997</v>
      </c>
      <c r="C21">
        <v>38.053226000000002</v>
      </c>
    </row>
    <row r="22" spans="1:3" x14ac:dyDescent="0.3">
      <c r="A22" t="s">
        <v>24</v>
      </c>
      <c r="B22">
        <f>VLOOKUP($A22, avg_revenue_share_percent!$B:$D, 3, FALSE)</f>
        <v>39.81</v>
      </c>
      <c r="C22">
        <v>37.764538999999999</v>
      </c>
    </row>
    <row r="23" spans="1:3" x14ac:dyDescent="0.3">
      <c r="A23" t="s">
        <v>25</v>
      </c>
      <c r="B23">
        <f>VLOOKUP($A23, avg_revenue_share_percent!$B:$D, 3, FALSE)</f>
        <v>35.96</v>
      </c>
      <c r="C23">
        <v>37.757407000000001</v>
      </c>
    </row>
    <row r="24" spans="1:3" x14ac:dyDescent="0.3">
      <c r="A24" t="s">
        <v>26</v>
      </c>
      <c r="B24">
        <f>VLOOKUP($A24, avg_revenue_share_percent!$B:$D, 3, FALSE)</f>
        <v>32.18</v>
      </c>
      <c r="C24">
        <v>37.307143000000003</v>
      </c>
    </row>
    <row r="25" spans="1:3" x14ac:dyDescent="0.3">
      <c r="A25" t="s">
        <v>27</v>
      </c>
      <c r="B25">
        <f>VLOOKUP($A25, avg_revenue_share_percent!$B:$D, 3, FALSE)</f>
        <v>37.08</v>
      </c>
      <c r="C25">
        <v>36.420575999999997</v>
      </c>
    </row>
    <row r="26" spans="1:3" x14ac:dyDescent="0.3">
      <c r="A26" t="s">
        <v>28</v>
      </c>
      <c r="B26">
        <f>VLOOKUP($A26, avg_revenue_share_percent!$B:$D, 3, FALSE)</f>
        <v>33.57</v>
      </c>
      <c r="C26">
        <v>36.137500000000003</v>
      </c>
    </row>
    <row r="27" spans="1:3" x14ac:dyDescent="0.3">
      <c r="A27" t="s">
        <v>29</v>
      </c>
      <c r="B27">
        <f>VLOOKUP($A27, avg_revenue_share_percent!$B:$D, 3, FALSE)</f>
        <v>28.93</v>
      </c>
      <c r="C27">
        <v>35.714722000000002</v>
      </c>
    </row>
    <row r="28" spans="1:3" x14ac:dyDescent="0.3">
      <c r="A28" t="s">
        <v>30</v>
      </c>
      <c r="B28">
        <f>VLOOKUP($A28, avg_revenue_share_percent!$B:$D, 3, FALSE)</f>
        <v>30.65</v>
      </c>
      <c r="C28">
        <v>34.308993000000001</v>
      </c>
    </row>
    <row r="29" spans="1:3" x14ac:dyDescent="0.3">
      <c r="A29" t="s">
        <v>31</v>
      </c>
      <c r="B29">
        <f>VLOOKUP($A29, avg_revenue_share_percent!$B:$D, 3, FALSE)</f>
        <v>24.51</v>
      </c>
      <c r="C29">
        <v>34.016401000000002</v>
      </c>
    </row>
    <row r="30" spans="1:3" x14ac:dyDescent="0.3">
      <c r="A30" t="s">
        <v>32</v>
      </c>
      <c r="B30">
        <f>VLOOKUP($A30, avg_revenue_share_percent!$B:$D, 3, FALSE)</f>
        <v>31.82</v>
      </c>
      <c r="C30">
        <v>33.781104999999997</v>
      </c>
    </row>
    <row r="31" spans="1:3" x14ac:dyDescent="0.3">
      <c r="A31" t="s">
        <v>33</v>
      </c>
      <c r="B31">
        <f>VLOOKUP($A31, avg_revenue_share_percent!$B:$D, 3, FALSE)</f>
        <v>25.38</v>
      </c>
      <c r="C31">
        <v>32.955677999999999</v>
      </c>
    </row>
    <row r="32" spans="1:3" x14ac:dyDescent="0.3">
      <c r="A32" t="s">
        <v>34</v>
      </c>
      <c r="B32">
        <f>VLOOKUP($A32, avg_revenue_share_percent!$B:$D, 3, FALSE)</f>
        <v>25.84</v>
      </c>
      <c r="C32">
        <v>32.577891999999999</v>
      </c>
    </row>
    <row r="33" spans="1:3" x14ac:dyDescent="0.3">
      <c r="A33" t="s">
        <v>35</v>
      </c>
      <c r="B33">
        <f>VLOOKUP($A33, avg_revenue_share_percent!$B:$D, 3, FALSE)</f>
        <v>19.93</v>
      </c>
      <c r="C33">
        <v>31.823164999999999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FF0E-74C2-4F5B-9F5D-7361FBD627C4}">
  <dimension ref="A1:D33"/>
  <sheetViews>
    <sheetView workbookViewId="0">
      <selection activeCell="F24" sqref="F24"/>
    </sheetView>
  </sheetViews>
  <sheetFormatPr baseColWidth="10" defaultRowHeight="14.4" x14ac:dyDescent="0.3"/>
  <cols>
    <col min="2" max="2" width="18.88671875" bestFit="1" customWidth="1"/>
    <col min="4" max="4" width="24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36</v>
      </c>
    </row>
    <row r="2" spans="1:4" x14ac:dyDescent="0.3">
      <c r="A2">
        <v>130</v>
      </c>
      <c r="B2" t="s">
        <v>7</v>
      </c>
      <c r="C2">
        <v>167</v>
      </c>
      <c r="D2">
        <v>49.07</v>
      </c>
    </row>
    <row r="3" spans="1:4" x14ac:dyDescent="0.3">
      <c r="A3">
        <v>109</v>
      </c>
      <c r="B3" t="s">
        <v>8</v>
      </c>
      <c r="C3">
        <v>403</v>
      </c>
      <c r="D3">
        <v>46.21</v>
      </c>
    </row>
    <row r="4" spans="1:4" x14ac:dyDescent="0.3">
      <c r="A4">
        <v>131</v>
      </c>
      <c r="B4" t="s">
        <v>9</v>
      </c>
      <c r="C4">
        <v>247</v>
      </c>
      <c r="D4">
        <v>45.62</v>
      </c>
    </row>
    <row r="5" spans="1:4" x14ac:dyDescent="0.3">
      <c r="A5">
        <v>125</v>
      </c>
      <c r="B5" t="s">
        <v>6</v>
      </c>
      <c r="C5">
        <v>316</v>
      </c>
      <c r="D5">
        <v>44.91</v>
      </c>
    </row>
    <row r="6" spans="1:4" x14ac:dyDescent="0.3">
      <c r="A6">
        <v>110</v>
      </c>
      <c r="B6" t="s">
        <v>5</v>
      </c>
      <c r="C6">
        <v>253</v>
      </c>
      <c r="D6">
        <v>44.46</v>
      </c>
    </row>
    <row r="7" spans="1:4" x14ac:dyDescent="0.3">
      <c r="A7">
        <v>132</v>
      </c>
      <c r="B7" t="s">
        <v>11</v>
      </c>
      <c r="C7">
        <v>291</v>
      </c>
      <c r="D7">
        <v>43.9</v>
      </c>
    </row>
    <row r="8" spans="1:4" x14ac:dyDescent="0.3">
      <c r="A8">
        <v>127</v>
      </c>
      <c r="B8" t="s">
        <v>4</v>
      </c>
      <c r="C8">
        <v>169</v>
      </c>
      <c r="D8">
        <v>43.88</v>
      </c>
    </row>
    <row r="9" spans="1:4" x14ac:dyDescent="0.3">
      <c r="A9">
        <v>107</v>
      </c>
      <c r="B9" t="s">
        <v>12</v>
      </c>
      <c r="C9">
        <v>325</v>
      </c>
      <c r="D9">
        <v>43.47</v>
      </c>
    </row>
    <row r="10" spans="1:4" x14ac:dyDescent="0.3">
      <c r="A10">
        <v>126</v>
      </c>
      <c r="B10" t="s">
        <v>19</v>
      </c>
      <c r="C10">
        <v>184</v>
      </c>
      <c r="D10">
        <v>41.72</v>
      </c>
    </row>
    <row r="11" spans="1:4" x14ac:dyDescent="0.3">
      <c r="A11">
        <v>128</v>
      </c>
      <c r="B11" t="s">
        <v>14</v>
      </c>
      <c r="C11">
        <v>151</v>
      </c>
      <c r="D11">
        <v>41.72</v>
      </c>
    </row>
    <row r="12" spans="1:4" x14ac:dyDescent="0.3">
      <c r="A12">
        <v>118</v>
      </c>
      <c r="B12" t="s">
        <v>17</v>
      </c>
      <c r="C12">
        <v>232</v>
      </c>
      <c r="D12">
        <v>41.41</v>
      </c>
    </row>
    <row r="13" spans="1:4" x14ac:dyDescent="0.3">
      <c r="A13">
        <v>102</v>
      </c>
      <c r="B13" t="s">
        <v>20</v>
      </c>
      <c r="C13">
        <v>390</v>
      </c>
      <c r="D13">
        <v>41.09</v>
      </c>
    </row>
    <row r="14" spans="1:4" x14ac:dyDescent="0.3">
      <c r="A14">
        <v>112</v>
      </c>
      <c r="B14" t="s">
        <v>13</v>
      </c>
      <c r="C14">
        <v>233</v>
      </c>
      <c r="D14">
        <v>40.51</v>
      </c>
    </row>
    <row r="15" spans="1:4" x14ac:dyDescent="0.3">
      <c r="A15">
        <v>129</v>
      </c>
      <c r="B15" t="s">
        <v>10</v>
      </c>
      <c r="C15">
        <v>245</v>
      </c>
      <c r="D15">
        <v>40.340000000000003</v>
      </c>
    </row>
    <row r="16" spans="1:4" x14ac:dyDescent="0.3">
      <c r="A16">
        <v>116</v>
      </c>
      <c r="B16" t="s">
        <v>21</v>
      </c>
      <c r="C16">
        <v>155</v>
      </c>
      <c r="D16">
        <v>40.32</v>
      </c>
    </row>
    <row r="17" spans="1:4" x14ac:dyDescent="0.3">
      <c r="A17">
        <v>108</v>
      </c>
      <c r="B17" t="s">
        <v>16</v>
      </c>
      <c r="C17">
        <v>371</v>
      </c>
      <c r="D17">
        <v>40.119999999999997</v>
      </c>
    </row>
    <row r="18" spans="1:4" x14ac:dyDescent="0.3">
      <c r="A18">
        <v>120</v>
      </c>
      <c r="B18" t="s">
        <v>18</v>
      </c>
      <c r="C18">
        <v>321</v>
      </c>
      <c r="D18">
        <v>39.94</v>
      </c>
    </row>
    <row r="19" spans="1:4" x14ac:dyDescent="0.3">
      <c r="A19">
        <v>101</v>
      </c>
      <c r="B19" t="s">
        <v>24</v>
      </c>
      <c r="C19">
        <v>423</v>
      </c>
      <c r="D19">
        <v>39.81</v>
      </c>
    </row>
    <row r="20" spans="1:4" x14ac:dyDescent="0.3">
      <c r="A20">
        <v>124</v>
      </c>
      <c r="B20" t="s">
        <v>15</v>
      </c>
      <c r="C20">
        <v>255</v>
      </c>
      <c r="D20">
        <v>39.14</v>
      </c>
    </row>
    <row r="21" spans="1:4" x14ac:dyDescent="0.3">
      <c r="A21">
        <v>117</v>
      </c>
      <c r="B21" t="s">
        <v>22</v>
      </c>
      <c r="C21">
        <v>299</v>
      </c>
      <c r="D21">
        <v>37.770000000000003</v>
      </c>
    </row>
    <row r="22" spans="1:4" x14ac:dyDescent="0.3">
      <c r="A22">
        <v>111</v>
      </c>
      <c r="B22" t="s">
        <v>27</v>
      </c>
      <c r="C22">
        <v>243</v>
      </c>
      <c r="D22">
        <v>37.08</v>
      </c>
    </row>
    <row r="23" spans="1:4" x14ac:dyDescent="0.3">
      <c r="A23">
        <v>119</v>
      </c>
      <c r="B23" t="s">
        <v>25</v>
      </c>
      <c r="C23">
        <v>270</v>
      </c>
      <c r="D23">
        <v>35.96</v>
      </c>
    </row>
    <row r="24" spans="1:4" x14ac:dyDescent="0.3">
      <c r="A24">
        <v>115</v>
      </c>
      <c r="B24" t="s">
        <v>23</v>
      </c>
      <c r="C24">
        <v>93</v>
      </c>
      <c r="D24">
        <v>35.119999999999997</v>
      </c>
    </row>
    <row r="25" spans="1:4" x14ac:dyDescent="0.3">
      <c r="A25">
        <v>121</v>
      </c>
      <c r="B25" t="s">
        <v>28</v>
      </c>
      <c r="C25">
        <v>160</v>
      </c>
      <c r="D25">
        <v>33.57</v>
      </c>
    </row>
    <row r="26" spans="1:4" x14ac:dyDescent="0.3">
      <c r="A26">
        <v>104</v>
      </c>
      <c r="B26" t="s">
        <v>26</v>
      </c>
      <c r="C26">
        <v>161</v>
      </c>
      <c r="D26">
        <v>32.18</v>
      </c>
    </row>
    <row r="27" spans="1:4" x14ac:dyDescent="0.3">
      <c r="A27">
        <v>123</v>
      </c>
      <c r="B27" t="s">
        <v>32</v>
      </c>
      <c r="C27">
        <v>172</v>
      </c>
      <c r="D27">
        <v>31.82</v>
      </c>
    </row>
    <row r="28" spans="1:4" x14ac:dyDescent="0.3">
      <c r="A28">
        <v>114</v>
      </c>
      <c r="B28" t="s">
        <v>30</v>
      </c>
      <c r="C28">
        <v>139</v>
      </c>
      <c r="D28">
        <v>30.65</v>
      </c>
    </row>
    <row r="29" spans="1:4" x14ac:dyDescent="0.3">
      <c r="A29">
        <v>103</v>
      </c>
      <c r="B29" t="s">
        <v>29</v>
      </c>
      <c r="C29">
        <v>180</v>
      </c>
      <c r="D29">
        <v>28.93</v>
      </c>
    </row>
    <row r="30" spans="1:4" x14ac:dyDescent="0.3">
      <c r="A30">
        <v>106</v>
      </c>
      <c r="B30" t="s">
        <v>34</v>
      </c>
      <c r="C30">
        <v>389</v>
      </c>
      <c r="D30">
        <v>25.84</v>
      </c>
    </row>
    <row r="31" spans="1:4" x14ac:dyDescent="0.3">
      <c r="A31">
        <v>105</v>
      </c>
      <c r="B31" t="s">
        <v>33</v>
      </c>
      <c r="C31">
        <v>317</v>
      </c>
      <c r="D31">
        <v>25.38</v>
      </c>
    </row>
    <row r="32" spans="1:4" x14ac:dyDescent="0.3">
      <c r="A32">
        <v>122</v>
      </c>
      <c r="B32" t="s">
        <v>31</v>
      </c>
      <c r="C32">
        <v>314</v>
      </c>
      <c r="D32">
        <v>24.51</v>
      </c>
    </row>
    <row r="33" spans="1:4" x14ac:dyDescent="0.3">
      <c r="A33">
        <v>113</v>
      </c>
      <c r="B33" t="s">
        <v>35</v>
      </c>
      <c r="C33">
        <v>436</v>
      </c>
      <c r="D33">
        <v>19.93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high ticket size drivers</vt:lpstr>
      <vt:lpstr>avg_revenue_share_percent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Aldana</dc:creator>
  <cp:lastModifiedBy>Lucila Aldana</cp:lastModifiedBy>
  <dcterms:created xsi:type="dcterms:W3CDTF">2025-11-03T18:58:28Z</dcterms:created>
  <dcterms:modified xsi:type="dcterms:W3CDTF">2025-11-03T18:58:28Z</dcterms:modified>
</cp:coreProperties>
</file>